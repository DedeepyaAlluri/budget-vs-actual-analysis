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dee\Downloads\"/>
    </mc:Choice>
  </mc:AlternateContent>
  <xr:revisionPtr revIDLastSave="0" documentId="8_{59A2F050-14ED-4CB5-B7BD-0113A43E14C3}" xr6:coauthVersionLast="47" xr6:coauthVersionMax="47" xr10:uidLastSave="{00000000-0000-0000-0000-000000000000}"/>
  <bookViews>
    <workbookView xWindow="-110" yWindow="-110" windowWidth="19420" windowHeight="11500" firstSheet="2" activeTab="2" xr2:uid="{7E2B771A-129D-4DAC-8901-D5962BE49F97}"/>
  </bookViews>
  <sheets>
    <sheet name="Sheet2" sheetId="2" state="hidden" r:id="rId1"/>
    <sheet name="Sheet4" sheetId="4" state="hidden" r:id="rId2"/>
    <sheet name="DASHBOARD" sheetId="5" r:id="rId3"/>
    <sheet name="Sheet3" sheetId="3" state="hidden" r:id="rId4"/>
    <sheet name="DATA" sheetId="1" r:id="rId5"/>
  </sheets>
  <definedNames>
    <definedName name="Slicer_product">#N/A</definedName>
    <definedName name="Slicer_Scenario">#N/A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4" l="1"/>
  <c r="C4" i="4"/>
  <c r="F3" i="1"/>
  <c r="F4" i="1"/>
  <c r="F5" i="1"/>
  <c r="F6" i="1"/>
  <c r="F7" i="1"/>
  <c r="F8" i="1"/>
  <c r="F9" i="1"/>
  <c r="E3" i="1"/>
  <c r="E4" i="1"/>
  <c r="E5" i="1"/>
  <c r="E6" i="1"/>
  <c r="E7" i="1"/>
  <c r="E8" i="1"/>
  <c r="E9" i="1"/>
  <c r="F2" i="1"/>
  <c r="E2" i="1"/>
</calcChain>
</file>

<file path=xl/sharedStrings.xml><?xml version="1.0" encoding="utf-8"?>
<sst xmlns="http://schemas.openxmlformats.org/spreadsheetml/2006/main" count="58" uniqueCount="17">
  <si>
    <t>product</t>
  </si>
  <si>
    <t>Scenario</t>
  </si>
  <si>
    <t>Revenue</t>
  </si>
  <si>
    <t>cost</t>
  </si>
  <si>
    <t>A</t>
  </si>
  <si>
    <t>B</t>
  </si>
  <si>
    <t>C</t>
  </si>
  <si>
    <t>D</t>
  </si>
  <si>
    <t>Budget</t>
  </si>
  <si>
    <t>Actual</t>
  </si>
  <si>
    <t>Profit</t>
  </si>
  <si>
    <t>Margin</t>
  </si>
  <si>
    <t>Row Labels</t>
  </si>
  <si>
    <t>Grand Total</t>
  </si>
  <si>
    <t>Sum of Profit</t>
  </si>
  <si>
    <t>Sum of cost</t>
  </si>
  <si>
    <t>profit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</si>
</sst>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9">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15">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1">
    <cellStyle name="Normal" xfId="0" builtinId="0"/>
  </cellStyles>
  <dxfs count="1">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[budget-vs-actual-fpna-analysis.xlsx]Sheet3!PivotTable3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Cost comparison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Sheet3!$A$4:$A$16</c:f>
              <c:multiLvlStrCache>
                <c:ptCount val="8"/>
                <c:lvl>
                  <c:pt idx="0">
                    <c:v>Actual</c:v>
                  </c:pt>
                  <c:pt idx="1">
                    <c:v>Budget</c:v>
                  </c:pt>
                  <c:pt idx="2">
                    <c:v>Actual</c:v>
                  </c:pt>
                  <c:pt idx="3">
                    <c:v>Budget</c:v>
                  </c:pt>
                  <c:pt idx="4">
                    <c:v>Actual</c:v>
                  </c:pt>
                  <c:pt idx="5">
                    <c:v>Budget</c:v>
                  </c:pt>
                  <c:pt idx="6">
                    <c:v>Actual</c:v>
                  </c:pt>
                  <c:pt idx="7">
                    <c:v>Budget</c:v>
                  </c:pt>
                </c:lvl>
                <c:lvl>
                  <c:pt idx="0">
                    <c:v>A</c:v>
                  </c:pt>
                  <c:pt idx="2">
                    <c:v>B</c:v>
                  </c:pt>
                  <c:pt idx="4">
                    <c:v>C</c:v>
                  </c:pt>
                  <c:pt idx="6">
                    <c:v>D</c:v>
                  </c:pt>
                </c:lvl>
              </c:multiLvlStrCache>
            </c:multiLvlStrRef>
          </c:cat>
          <c:val>
            <c:numRef>
              <c:f>Sheet3!$B$4:$B$16</c:f>
              <c:numCache>
                <c:formatCode>General</c:formatCode>
                <c:ptCount val="8"/>
                <c:pt idx="0">
                  <c:v>70000</c:v>
                </c:pt>
                <c:pt idx="1">
                  <c:v>66500</c:v>
                </c:pt>
                <c:pt idx="2">
                  <c:v>145000</c:v>
                </c:pt>
                <c:pt idx="3">
                  <c:v>85000</c:v>
                </c:pt>
                <c:pt idx="4">
                  <c:v>85000</c:v>
                </c:pt>
                <c:pt idx="5">
                  <c:v>57000</c:v>
                </c:pt>
                <c:pt idx="6">
                  <c:v>55000</c:v>
                </c:pt>
                <c:pt idx="7">
                  <c:v>48000</c:v>
                </c:pt>
              </c:numCache>
            </c:numRef>
          </c:val>
          <c:extLst>
            <c:ext xmlns:c16="http://schemas.microsoft.com/office/drawing/2014/chart" uri="{C3380CC4-5D6E-409C-BE32-E72D297353CC}">
              <c16:uniqueId val="{00000000-31D3-4BCC-BF07-286CC9D88D00}"/>
            </c:ext>
          </c:extLst>
        </c:ser>
        <c:dLbls>
          <c:dLblPos val="outEnd"/>
          <c:showLegendKey val="0"/>
          <c:showVal val="1"/>
          <c:showCatName val="0"/>
          <c:showSerName val="0"/>
          <c:showPercent val="0"/>
          <c:showBubbleSize val="0"/>
        </c:dLbls>
        <c:gapWidth val="100"/>
        <c:overlap val="-24"/>
        <c:axId val="559874896"/>
        <c:axId val="559878256"/>
      </c:barChart>
      <c:catAx>
        <c:axId val="5598748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878256"/>
        <c:crosses val="autoZero"/>
        <c:auto val="1"/>
        <c:lblAlgn val="ctr"/>
        <c:lblOffset val="100"/>
        <c:noMultiLvlLbl val="0"/>
      </c:catAx>
      <c:valAx>
        <c:axId val="559878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87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[budget-vs-actual-fpna-analysis.xlsx]Sheet2!PivotTable2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(Budget vs Actual)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5371828521433E-2"/>
          <c:y val="0.15782407407407409"/>
          <c:w val="0.74845603674540684"/>
          <c:h val="0.45383748906386701"/>
        </c:manualLayout>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Sheet2!$A$4:$A$16</c:f>
              <c:multiLvlStrCache>
                <c:ptCount val="8"/>
                <c:lvl>
                  <c:pt idx="0">
                    <c:v>Actual</c:v>
                  </c:pt>
                  <c:pt idx="1">
                    <c:v>Budget</c:v>
                  </c:pt>
                  <c:pt idx="2">
                    <c:v>Actual</c:v>
                  </c:pt>
                  <c:pt idx="3">
                    <c:v>Budget</c:v>
                  </c:pt>
                  <c:pt idx="4">
                    <c:v>Actual</c:v>
                  </c:pt>
                  <c:pt idx="5">
                    <c:v>Budget</c:v>
                  </c:pt>
                  <c:pt idx="6">
                    <c:v>Actual</c:v>
                  </c:pt>
                  <c:pt idx="7">
                    <c:v>Budget</c:v>
                  </c:pt>
                </c:lvl>
                <c:lvl>
                  <c:pt idx="0">
                    <c:v>A</c:v>
                  </c:pt>
                  <c:pt idx="2">
                    <c:v>B</c:v>
                  </c:pt>
                  <c:pt idx="4">
                    <c:v>C</c:v>
                  </c:pt>
                  <c:pt idx="6">
                    <c:v>D</c:v>
                  </c:pt>
                </c:lvl>
              </c:multiLvlStrCache>
            </c:multiLvlStrRef>
          </c:cat>
          <c:val>
            <c:numRef>
              <c:f>Sheet2!$B$4:$B$16</c:f>
              <c:numCache>
                <c:formatCode>General</c:formatCode>
                <c:ptCount val="8"/>
                <c:pt idx="0">
                  <c:v>30000</c:v>
                </c:pt>
                <c:pt idx="1">
                  <c:v>38500</c:v>
                </c:pt>
                <c:pt idx="2">
                  <c:v>5000</c:v>
                </c:pt>
                <c:pt idx="3">
                  <c:v>55000</c:v>
                </c:pt>
                <c:pt idx="4">
                  <c:v>10000</c:v>
                </c:pt>
                <c:pt idx="5">
                  <c:v>38000</c:v>
                </c:pt>
                <c:pt idx="6">
                  <c:v>30000</c:v>
                </c:pt>
                <c:pt idx="7">
                  <c:v>34000</c:v>
                </c:pt>
              </c:numCache>
            </c:numRef>
          </c:val>
          <c:extLst>
            <c:ext xmlns:c16="http://schemas.microsoft.com/office/drawing/2014/chart" uri="{C3380CC4-5D6E-409C-BE32-E72D297353CC}">
              <c16:uniqueId val="{00000000-C0E1-4690-A61C-D59D86D69EE3}"/>
            </c:ext>
          </c:extLst>
        </c:ser>
        <c:dLbls>
          <c:dLblPos val="outEnd"/>
          <c:showLegendKey val="0"/>
          <c:showVal val="1"/>
          <c:showCatName val="0"/>
          <c:showSerName val="0"/>
          <c:showPercent val="0"/>
          <c:showBubbleSize val="0"/>
        </c:dLbls>
        <c:gapWidth val="100"/>
        <c:overlap val="-24"/>
        <c:axId val="558825408"/>
        <c:axId val="558822048"/>
      </c:barChart>
      <c:catAx>
        <c:axId val="5588254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822048"/>
        <c:crosses val="autoZero"/>
        <c:auto val="1"/>
        <c:lblAlgn val="ctr"/>
        <c:lblOffset val="100"/>
        <c:noMultiLvlLbl val="0"/>
      </c:catAx>
      <c:valAx>
        <c:axId val="558822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8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44450</xdr:colOff>
      <xdr:row>1</xdr:row>
      <xdr:rowOff>38101</xdr:rowOff>
    </xdr:from>
    <xdr:ext cx="4864099" cy="1143000"/>
    <xdr:sp macro="" textlink="">
      <xdr:nvSpPr>
        <xdr:cNvPr id="2" name="TextBox 1">
          <a:extLst>
            <a:ext uri="{FF2B5EF4-FFF2-40B4-BE49-F238E27FC236}">
              <a16:creationId xmlns:a16="http://schemas.microsoft.com/office/drawing/2014/main" id="{B771AF1C-D427-11A6-D53A-6E9DBDB875E8}"/>
            </a:ext>
          </a:extLst>
        </xdr:cNvPr>
        <xdr:cNvSpPr txBox="1"/>
      </xdr:nvSpPr>
      <xdr:spPr>
        <a:xfrm>
          <a:off x="654050" y="222251"/>
          <a:ext cx="4864099" cy="1143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a:t> </a:t>
          </a:r>
          <a:r>
            <a:rPr lang="en-IN" sz="3200" b="1">
              <a:latin typeface="+mj-lt"/>
            </a:rPr>
            <a:t>Budget vs Actual Analysis Dashboard</a:t>
          </a:r>
        </a:p>
        <a:p>
          <a:endParaRPr lang="en-IN" sz="1100"/>
        </a:p>
      </xdr:txBody>
    </xdr:sp>
    <xdr:clientData/>
  </xdr:oneCellAnchor>
  <xdr:twoCellAnchor>
    <xdr:from>
      <xdr:col>9</xdr:col>
      <xdr:colOff>76200</xdr:colOff>
      <xdr:row>1</xdr:row>
      <xdr:rowOff>19050</xdr:rowOff>
    </xdr:from>
    <xdr:to>
      <xdr:col>11</xdr:col>
      <xdr:colOff>177800</xdr:colOff>
      <xdr:row>7</xdr:row>
      <xdr:rowOff>69850</xdr:rowOff>
    </xdr:to>
    <xdr:sp macro="" textlink="">
      <xdr:nvSpPr>
        <xdr:cNvPr id="3" name="Rectangle 2">
          <a:extLst>
            <a:ext uri="{FF2B5EF4-FFF2-40B4-BE49-F238E27FC236}">
              <a16:creationId xmlns:a16="http://schemas.microsoft.com/office/drawing/2014/main" id="{35097219-305B-9A18-DEFF-356CCB93ABB6}"/>
            </a:ext>
          </a:extLst>
        </xdr:cNvPr>
        <xdr:cNvSpPr/>
      </xdr:nvSpPr>
      <xdr:spPr>
        <a:xfrm>
          <a:off x="5562600" y="203200"/>
          <a:ext cx="1320800" cy="1155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209550</xdr:colOff>
      <xdr:row>1</xdr:row>
      <xdr:rowOff>25400</xdr:rowOff>
    </xdr:from>
    <xdr:to>
      <xdr:col>13</xdr:col>
      <xdr:colOff>311150</xdr:colOff>
      <xdr:row>7</xdr:row>
      <xdr:rowOff>76200</xdr:rowOff>
    </xdr:to>
    <xdr:sp macro="" textlink="">
      <xdr:nvSpPr>
        <xdr:cNvPr id="4" name="Rectangle 3">
          <a:extLst>
            <a:ext uri="{FF2B5EF4-FFF2-40B4-BE49-F238E27FC236}">
              <a16:creationId xmlns:a16="http://schemas.microsoft.com/office/drawing/2014/main" id="{B27911E4-3551-492B-8B3E-F20161E8F06D}"/>
            </a:ext>
          </a:extLst>
        </xdr:cNvPr>
        <xdr:cNvSpPr/>
      </xdr:nvSpPr>
      <xdr:spPr>
        <a:xfrm>
          <a:off x="6915150" y="209550"/>
          <a:ext cx="1320800" cy="1155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336550</xdr:colOff>
      <xdr:row>1</xdr:row>
      <xdr:rowOff>31750</xdr:rowOff>
    </xdr:from>
    <xdr:to>
      <xdr:col>15</xdr:col>
      <xdr:colOff>438150</xdr:colOff>
      <xdr:row>7</xdr:row>
      <xdr:rowOff>82550</xdr:rowOff>
    </xdr:to>
    <xdr:sp macro="" textlink="">
      <xdr:nvSpPr>
        <xdr:cNvPr id="5" name="Rectangle 4">
          <a:extLst>
            <a:ext uri="{FF2B5EF4-FFF2-40B4-BE49-F238E27FC236}">
              <a16:creationId xmlns:a16="http://schemas.microsoft.com/office/drawing/2014/main" id="{90731F09-D289-4772-A911-C2673883A403}"/>
            </a:ext>
          </a:extLst>
        </xdr:cNvPr>
        <xdr:cNvSpPr/>
      </xdr:nvSpPr>
      <xdr:spPr>
        <a:xfrm>
          <a:off x="8261350" y="215900"/>
          <a:ext cx="1320800" cy="1155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476250</xdr:colOff>
      <xdr:row>1</xdr:row>
      <xdr:rowOff>31750</xdr:rowOff>
    </xdr:from>
    <xdr:to>
      <xdr:col>17</xdr:col>
      <xdr:colOff>577850</xdr:colOff>
      <xdr:row>7</xdr:row>
      <xdr:rowOff>82550</xdr:rowOff>
    </xdr:to>
    <xdr:sp macro="" textlink="">
      <xdr:nvSpPr>
        <xdr:cNvPr id="6" name="Rectangle 5">
          <a:extLst>
            <a:ext uri="{FF2B5EF4-FFF2-40B4-BE49-F238E27FC236}">
              <a16:creationId xmlns:a16="http://schemas.microsoft.com/office/drawing/2014/main" id="{D9968EAC-8E03-4FFA-B5F4-975966CC3FD2}"/>
            </a:ext>
          </a:extLst>
        </xdr:cNvPr>
        <xdr:cNvSpPr/>
      </xdr:nvSpPr>
      <xdr:spPr>
        <a:xfrm>
          <a:off x="9620250" y="215900"/>
          <a:ext cx="1320800" cy="1155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88900</xdr:colOff>
      <xdr:row>5</xdr:row>
      <xdr:rowOff>95250</xdr:rowOff>
    </xdr:from>
    <xdr:ext cx="1314450" cy="266700"/>
    <xdr:sp macro="" textlink="">
      <xdr:nvSpPr>
        <xdr:cNvPr id="7" name="TextBox 6">
          <a:extLst>
            <a:ext uri="{FF2B5EF4-FFF2-40B4-BE49-F238E27FC236}">
              <a16:creationId xmlns:a16="http://schemas.microsoft.com/office/drawing/2014/main" id="{B0695377-F04A-03B2-8FC7-3245B2969CCB}"/>
            </a:ext>
          </a:extLst>
        </xdr:cNvPr>
        <xdr:cNvSpPr txBox="1"/>
      </xdr:nvSpPr>
      <xdr:spPr>
        <a:xfrm>
          <a:off x="5575300" y="1016000"/>
          <a:ext cx="1314450" cy="266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IN" b="1"/>
            <a:t>Total Budget Profit</a:t>
          </a:r>
          <a:r>
            <a:rPr lang="en-IN"/>
            <a:t> </a:t>
          </a:r>
          <a:endParaRPr lang="en-IN" sz="1100"/>
        </a:p>
      </xdr:txBody>
    </xdr:sp>
    <xdr:clientData/>
  </xdr:oneCellAnchor>
  <xdr:oneCellAnchor>
    <xdr:from>
      <xdr:col>11</xdr:col>
      <xdr:colOff>215900</xdr:colOff>
      <xdr:row>5</xdr:row>
      <xdr:rowOff>95250</xdr:rowOff>
    </xdr:from>
    <xdr:ext cx="1320800" cy="266700"/>
    <xdr:sp macro="" textlink="">
      <xdr:nvSpPr>
        <xdr:cNvPr id="8" name="TextBox 7">
          <a:extLst>
            <a:ext uri="{FF2B5EF4-FFF2-40B4-BE49-F238E27FC236}">
              <a16:creationId xmlns:a16="http://schemas.microsoft.com/office/drawing/2014/main" id="{1B8C0971-EB91-B483-E0F7-C18E6E89859F}"/>
            </a:ext>
          </a:extLst>
        </xdr:cNvPr>
        <xdr:cNvSpPr txBox="1"/>
      </xdr:nvSpPr>
      <xdr:spPr>
        <a:xfrm>
          <a:off x="6921500" y="1016000"/>
          <a:ext cx="1320800" cy="266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IN" b="1"/>
            <a:t>Total Actual Profit</a:t>
          </a:r>
          <a:r>
            <a:rPr lang="en-IN"/>
            <a:t> </a:t>
          </a:r>
          <a:endParaRPr lang="en-IN" sz="1100"/>
        </a:p>
      </xdr:txBody>
    </xdr:sp>
    <xdr:clientData/>
  </xdr:oneCellAnchor>
  <xdr:oneCellAnchor>
    <xdr:from>
      <xdr:col>13</xdr:col>
      <xdr:colOff>349250</xdr:colOff>
      <xdr:row>5</xdr:row>
      <xdr:rowOff>88900</xdr:rowOff>
    </xdr:from>
    <xdr:ext cx="1301750" cy="279401"/>
    <xdr:sp macro="" textlink="">
      <xdr:nvSpPr>
        <xdr:cNvPr id="9" name="TextBox 8">
          <a:extLst>
            <a:ext uri="{FF2B5EF4-FFF2-40B4-BE49-F238E27FC236}">
              <a16:creationId xmlns:a16="http://schemas.microsoft.com/office/drawing/2014/main" id="{8C576A59-CF04-D2B7-35E0-4F90C0454A68}"/>
            </a:ext>
          </a:extLst>
        </xdr:cNvPr>
        <xdr:cNvSpPr txBox="1"/>
      </xdr:nvSpPr>
      <xdr:spPr>
        <a:xfrm>
          <a:off x="8274050" y="1009650"/>
          <a:ext cx="1301750" cy="27940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b="1"/>
            <a:t>Profit Variance($)</a:t>
          </a:r>
          <a:r>
            <a:rPr lang="en-IN"/>
            <a:t> </a:t>
          </a:r>
        </a:p>
        <a:p>
          <a:endParaRPr lang="en-IN" sz="1100"/>
        </a:p>
      </xdr:txBody>
    </xdr:sp>
    <xdr:clientData/>
  </xdr:oneCellAnchor>
  <xdr:twoCellAnchor>
    <xdr:from>
      <xdr:col>11</xdr:col>
      <xdr:colOff>558800</xdr:colOff>
      <xdr:row>3</xdr:row>
      <xdr:rowOff>88900</xdr:rowOff>
    </xdr:from>
    <xdr:to>
      <xdr:col>12</xdr:col>
      <xdr:colOff>482600</xdr:colOff>
      <xdr:row>4</xdr:row>
      <xdr:rowOff>114300</xdr:rowOff>
    </xdr:to>
    <xdr:sp macro="" textlink="Sheet4!B4">
      <xdr:nvSpPr>
        <xdr:cNvPr id="3073" name="Text Box 1">
          <a:extLst>
            <a:ext uri="{FF2B5EF4-FFF2-40B4-BE49-F238E27FC236}">
              <a16:creationId xmlns:a16="http://schemas.microsoft.com/office/drawing/2014/main" id="{648F026E-3F85-EC59-0123-2ABF1CC1D3F6}"/>
            </a:ext>
          </a:extLst>
        </xdr:cNvPr>
        <xdr:cNvSpPr txBox="1">
          <a:spLocks noChangeArrowheads="1"/>
        </xdr:cNvSpPr>
      </xdr:nvSpPr>
      <xdr:spPr bwMode="auto">
        <a:xfrm>
          <a:off x="7264400" y="641350"/>
          <a:ext cx="533400" cy="209550"/>
        </a:xfrm>
        <a:prstGeom prst="rect">
          <a:avLst/>
        </a:prstGeom>
        <a:solidFill>
          <a:srgbClr val="FFFFFF"/>
        </a:solidFill>
        <a:ln w="9525">
          <a:solidFill>
            <a:schemeClr val="bg1"/>
          </a:solidFill>
          <a:miter lim="800000"/>
          <a:headEnd/>
          <a:tailEnd/>
        </a:ln>
      </xdr:spPr>
      <xdr:txBody>
        <a:bodyPr vertOverflow="clip" wrap="square" lIns="36576" tIns="36576" rIns="0" bIns="0" anchor="t" upright="1"/>
        <a:lstStyle/>
        <a:p>
          <a:pPr algn="l" rtl="0">
            <a:defRPr sz="1000"/>
          </a:pPr>
          <a:fld id="{3335DE6D-57BA-40AC-9700-DB45F86630BC}" type="TxLink">
            <a:rPr lang="en-US" sz="1100" b="0" i="0" u="none" strike="noStrike" cap="none" spc="0" baseline="0">
              <a:ln w="0"/>
              <a:solidFill>
                <a:schemeClr val="accent1"/>
              </a:solidFill>
              <a:effectLst>
                <a:outerShdw blurRad="38100" dist="25400" dir="5400000" algn="ctr" rotWithShape="0">
                  <a:srgbClr val="6E747A">
                    <a:alpha val="43000"/>
                  </a:srgbClr>
                </a:outerShdw>
              </a:effectLst>
              <a:latin typeface="Calibri"/>
              <a:ea typeface="Calibri"/>
              <a:cs typeface="Calibri"/>
            </a:rPr>
            <a:t>75000</a:t>
          </a:fld>
          <a:endParaRPr lang="en-IN" sz="1100" b="0" i="0" u="none" strike="noStrike" cap="none" spc="0" baseline="0">
            <a:ln w="0"/>
            <a:solidFill>
              <a:schemeClr val="accent1"/>
            </a:solidFill>
            <a:effectLst>
              <a:outerShdw blurRad="38100" dist="25400" dir="5400000" algn="ctr" rotWithShape="0">
                <a:srgbClr val="6E747A">
                  <a:alpha val="43000"/>
                </a:srgbClr>
              </a:outerShdw>
            </a:effectLst>
            <a:latin typeface="Calibri"/>
            <a:ea typeface="Calibri"/>
            <a:cs typeface="Calibri"/>
          </a:endParaRPr>
        </a:p>
      </xdr:txBody>
    </xdr:sp>
    <xdr:clientData/>
  </xdr:twoCellAnchor>
  <xdr:twoCellAnchor>
    <xdr:from>
      <xdr:col>9</xdr:col>
      <xdr:colOff>381000</xdr:colOff>
      <xdr:row>3</xdr:row>
      <xdr:rowOff>82550</xdr:rowOff>
    </xdr:from>
    <xdr:to>
      <xdr:col>10</xdr:col>
      <xdr:colOff>457200</xdr:colOff>
      <xdr:row>4</xdr:row>
      <xdr:rowOff>171450</xdr:rowOff>
    </xdr:to>
    <xdr:sp macro="" textlink="Sheet4!B5">
      <xdr:nvSpPr>
        <xdr:cNvPr id="3074" name="Text Box 2">
          <a:extLst>
            <a:ext uri="{FF2B5EF4-FFF2-40B4-BE49-F238E27FC236}">
              <a16:creationId xmlns:a16="http://schemas.microsoft.com/office/drawing/2014/main" id="{6E149593-D30E-E4FA-BD09-2F183F38BA04}"/>
            </a:ext>
          </a:extLst>
        </xdr:cNvPr>
        <xdr:cNvSpPr txBox="1">
          <a:spLocks noChangeArrowheads="1"/>
        </xdr:cNvSpPr>
      </xdr:nvSpPr>
      <xdr:spPr bwMode="auto">
        <a:xfrm>
          <a:off x="5867400" y="635000"/>
          <a:ext cx="685800" cy="273050"/>
        </a:xfrm>
        <a:prstGeom prst="rect">
          <a:avLst/>
        </a:prstGeom>
        <a:ln>
          <a:solidFill>
            <a:schemeClr val="bg1"/>
          </a:solidFill>
          <a:headEnd/>
          <a:tailEnd/>
        </a:ln>
      </xdr:spPr>
      <xdr:style>
        <a:lnRef idx="2">
          <a:schemeClr val="accent1"/>
        </a:lnRef>
        <a:fillRef idx="1">
          <a:schemeClr val="lt1"/>
        </a:fillRef>
        <a:effectRef idx="0">
          <a:schemeClr val="accent1"/>
        </a:effectRef>
        <a:fontRef idx="minor">
          <a:schemeClr val="dk1"/>
        </a:fontRef>
      </xdr:style>
      <xdr:txBody>
        <a:bodyPr vertOverflow="clip" wrap="square" lIns="36576" tIns="36576" rIns="0" bIns="0" anchor="t" upright="1"/>
        <a:lstStyle/>
        <a:p>
          <a:pPr algn="l" rtl="0">
            <a:defRPr sz="1000"/>
          </a:pPr>
          <a:fld id="{5AD90508-5964-45A4-B54B-5E4673C65CFC}" type="TxLink">
            <a:rPr lang="en-US" sz="1100" b="1" i="0" u="none" strike="noStrike" cap="none" spc="0" baseline="0">
              <a:ln w="0"/>
              <a:solidFill>
                <a:schemeClr val="accent1"/>
              </a:solidFill>
              <a:effectLst>
                <a:outerShdw blurRad="38100" dist="25400" dir="5400000" algn="ctr" rotWithShape="0">
                  <a:srgbClr val="6E747A">
                    <a:alpha val="43000"/>
                  </a:srgbClr>
                </a:outerShdw>
              </a:effectLst>
              <a:latin typeface="Calibri"/>
              <a:ea typeface="Calibri"/>
              <a:cs typeface="Calibri"/>
            </a:rPr>
            <a:t>165500</a:t>
          </a:fld>
          <a:endParaRPr lang="en-IN" sz="1100" b="1" i="0" u="none" strike="noStrike" cap="none" spc="0" baseline="0">
            <a:ln w="0"/>
            <a:solidFill>
              <a:schemeClr val="accent1"/>
            </a:solidFill>
            <a:effectLst>
              <a:outerShdw blurRad="38100" dist="25400" dir="5400000" algn="ctr" rotWithShape="0">
                <a:srgbClr val="6E747A">
                  <a:alpha val="43000"/>
                </a:srgbClr>
              </a:outerShdw>
            </a:effectLst>
            <a:latin typeface="Calibri"/>
            <a:ea typeface="Calibri"/>
            <a:cs typeface="Calibri"/>
          </a:endParaRPr>
        </a:p>
      </xdr:txBody>
    </xdr:sp>
    <xdr:clientData/>
  </xdr:twoCellAnchor>
  <xdr:oneCellAnchor>
    <xdr:from>
      <xdr:col>15</xdr:col>
      <xdr:colOff>488950</xdr:colOff>
      <xdr:row>5</xdr:row>
      <xdr:rowOff>76200</xdr:rowOff>
    </xdr:from>
    <xdr:ext cx="1301750" cy="285750"/>
    <xdr:sp macro="" textlink="">
      <xdr:nvSpPr>
        <xdr:cNvPr id="10" name="TextBox 9">
          <a:extLst>
            <a:ext uri="{FF2B5EF4-FFF2-40B4-BE49-F238E27FC236}">
              <a16:creationId xmlns:a16="http://schemas.microsoft.com/office/drawing/2014/main" id="{2A6382BE-0951-22CE-4631-5957658E3BDA}"/>
            </a:ext>
          </a:extLst>
        </xdr:cNvPr>
        <xdr:cNvSpPr txBox="1"/>
      </xdr:nvSpPr>
      <xdr:spPr>
        <a:xfrm>
          <a:off x="9632950" y="996950"/>
          <a:ext cx="1301750" cy="2857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IN" b="1"/>
            <a:t>Profit Variance(%)</a:t>
          </a:r>
          <a:endParaRPr lang="en-IN" sz="1100" b="1"/>
        </a:p>
      </xdr:txBody>
    </xdr:sp>
    <xdr:clientData/>
  </xdr:oneCellAnchor>
  <xdr:oneCellAnchor>
    <xdr:from>
      <xdr:col>14</xdr:col>
      <xdr:colOff>133349</xdr:colOff>
      <xdr:row>3</xdr:row>
      <xdr:rowOff>107950</xdr:rowOff>
    </xdr:from>
    <xdr:ext cx="660401" cy="260350"/>
    <xdr:sp macro="" textlink="Sheet4!C4">
      <xdr:nvSpPr>
        <xdr:cNvPr id="11" name="TextBox 10">
          <a:extLst>
            <a:ext uri="{FF2B5EF4-FFF2-40B4-BE49-F238E27FC236}">
              <a16:creationId xmlns:a16="http://schemas.microsoft.com/office/drawing/2014/main" id="{6B2A9C5D-FC5D-9A52-2D2C-4DBB951B3773}"/>
            </a:ext>
          </a:extLst>
        </xdr:cNvPr>
        <xdr:cNvSpPr txBox="1"/>
      </xdr:nvSpPr>
      <xdr:spPr>
        <a:xfrm>
          <a:off x="8667749" y="660400"/>
          <a:ext cx="660401" cy="26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B7CD222-D02A-4369-8320-E1FF9EE09FAB}" type="TxLink">
            <a:rPr lang="en-US" sz="1100" b="1" i="0" u="none" strike="noStrike" cap="none" spc="0">
              <a:ln>
                <a:noFill/>
              </a:ln>
              <a:solidFill>
                <a:srgbClr val="FF0000"/>
              </a:solidFill>
              <a:effectLst/>
              <a:latin typeface="Calibri"/>
              <a:ea typeface="Calibri"/>
              <a:cs typeface="Calibri"/>
            </a:rPr>
            <a:t>-90500</a:t>
          </a:fld>
          <a:endParaRPr lang="en-IN" sz="1100" b="1" cap="none" spc="0">
            <a:ln>
              <a:noFill/>
            </a:ln>
            <a:solidFill>
              <a:srgbClr val="FF0000"/>
            </a:solidFill>
            <a:effectLst/>
          </a:endParaRPr>
        </a:p>
      </xdr:txBody>
    </xdr:sp>
    <xdr:clientData/>
  </xdr:oneCellAnchor>
  <xdr:oneCellAnchor>
    <xdr:from>
      <xdr:col>16</xdr:col>
      <xdr:colOff>120650</xdr:colOff>
      <xdr:row>3</xdr:row>
      <xdr:rowOff>114300</xdr:rowOff>
    </xdr:from>
    <xdr:ext cx="650306" cy="273050"/>
    <xdr:sp macro="" textlink="Sheet4!C5">
      <xdr:nvSpPr>
        <xdr:cNvPr id="12" name="TextBox 11">
          <a:extLst>
            <a:ext uri="{FF2B5EF4-FFF2-40B4-BE49-F238E27FC236}">
              <a16:creationId xmlns:a16="http://schemas.microsoft.com/office/drawing/2014/main" id="{1DA5DDA4-367F-6D1A-55FF-D63F10270E81}"/>
            </a:ext>
          </a:extLst>
        </xdr:cNvPr>
        <xdr:cNvSpPr txBox="1"/>
      </xdr:nvSpPr>
      <xdr:spPr>
        <a:xfrm>
          <a:off x="9874250" y="666750"/>
          <a:ext cx="650306"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FDFB37C-34DE-4838-BC46-08CE91661666}" type="TxLink">
            <a:rPr lang="en-US" sz="1100" b="1" i="0" u="none" strike="noStrike">
              <a:solidFill>
                <a:srgbClr val="FF0000"/>
              </a:solidFill>
              <a:latin typeface="Calibri"/>
              <a:ea typeface="Calibri"/>
              <a:cs typeface="Calibri"/>
            </a:rPr>
            <a:t>-54.68%</a:t>
          </a:fld>
          <a:endParaRPr lang="en-IN" sz="1100" b="1">
            <a:solidFill>
              <a:srgbClr val="FF0000"/>
            </a:solidFill>
          </a:endParaRPr>
        </a:p>
      </xdr:txBody>
    </xdr:sp>
    <xdr:clientData/>
  </xdr:oneCellAnchor>
  <xdr:twoCellAnchor>
    <xdr:from>
      <xdr:col>1</xdr:col>
      <xdr:colOff>57150</xdr:colOff>
      <xdr:row>7</xdr:row>
      <xdr:rowOff>120650</xdr:rowOff>
    </xdr:from>
    <xdr:to>
      <xdr:col>6</xdr:col>
      <xdr:colOff>368300</xdr:colOff>
      <xdr:row>21</xdr:row>
      <xdr:rowOff>114300</xdr:rowOff>
    </xdr:to>
    <xdr:graphicFrame macro="">
      <xdr:nvGraphicFramePr>
        <xdr:cNvPr id="13" name="Chart 12">
          <a:extLst>
            <a:ext uri="{FF2B5EF4-FFF2-40B4-BE49-F238E27FC236}">
              <a16:creationId xmlns:a16="http://schemas.microsoft.com/office/drawing/2014/main" id="{C4BAC3E8-E1E5-4AA4-843E-4F56AC0B9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7</xdr:row>
      <xdr:rowOff>120650</xdr:rowOff>
    </xdr:from>
    <xdr:to>
      <xdr:col>11</xdr:col>
      <xdr:colOff>419100</xdr:colOff>
      <xdr:row>21</xdr:row>
      <xdr:rowOff>127000</xdr:rowOff>
    </xdr:to>
    <xdr:graphicFrame macro="">
      <xdr:nvGraphicFramePr>
        <xdr:cNvPr id="14" name="Chart 13">
          <a:extLst>
            <a:ext uri="{FF2B5EF4-FFF2-40B4-BE49-F238E27FC236}">
              <a16:creationId xmlns:a16="http://schemas.microsoft.com/office/drawing/2014/main" id="{C7A140DE-C8D4-4C19-A3CC-A86A16935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463550</xdr:colOff>
      <xdr:row>7</xdr:row>
      <xdr:rowOff>114301</xdr:rowOff>
    </xdr:from>
    <xdr:to>
      <xdr:col>13</xdr:col>
      <xdr:colOff>444500</xdr:colOff>
      <xdr:row>15</xdr:row>
      <xdr:rowOff>120651</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C3E0B529-0717-4B17-ACD8-F7D07B96D4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69150" y="1403351"/>
              <a:ext cx="1200150"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482600</xdr:colOff>
      <xdr:row>15</xdr:row>
      <xdr:rowOff>171450</xdr:rowOff>
    </xdr:from>
    <xdr:to>
      <xdr:col>13</xdr:col>
      <xdr:colOff>450850</xdr:colOff>
      <xdr:row>21</xdr:row>
      <xdr:rowOff>133350</xdr:rowOff>
    </xdr:to>
    <mc:AlternateContent xmlns:mc="http://schemas.openxmlformats.org/markup-compatibility/2006">
      <mc:Choice xmlns:a14="http://schemas.microsoft.com/office/drawing/2010/main" Requires="a14">
        <xdr:graphicFrame macro="">
          <xdr:nvGraphicFramePr>
            <xdr:cNvPr id="16" name="Scenario">
              <a:extLst>
                <a:ext uri="{FF2B5EF4-FFF2-40B4-BE49-F238E27FC236}">
                  <a16:creationId xmlns:a16="http://schemas.microsoft.com/office/drawing/2014/main" id="{EE8237C8-3318-4EC2-9F4D-42CBDABECCFD}"/>
                </a:ext>
              </a:extLst>
            </xdr:cNvPr>
            <xdr:cNvGraphicFramePr/>
          </xdr:nvGraphicFramePr>
          <xdr:xfrm>
            <a:off x="0" y="0"/>
            <a:ext cx="0" cy="0"/>
          </xdr:xfrm>
          <a:graphic>
            <a:graphicData uri="http://schemas.microsoft.com/office/drawing/2010/slicer">
              <sle:slicer xmlns:sle="http://schemas.microsoft.com/office/drawing/2010/slicer" name="Scenario"/>
            </a:graphicData>
          </a:graphic>
        </xdr:graphicFrame>
      </mc:Choice>
      <mc:Fallback>
        <xdr:sp macro="" textlink="">
          <xdr:nvSpPr>
            <xdr:cNvPr id="0" name=""/>
            <xdr:cNvSpPr>
              <a:spLocks noTextEdit="1"/>
            </xdr:cNvSpPr>
          </xdr:nvSpPr>
          <xdr:spPr>
            <a:xfrm>
              <a:off x="7188200" y="2933700"/>
              <a:ext cx="118745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488950</xdr:colOff>
      <xdr:row>7</xdr:row>
      <xdr:rowOff>120650</xdr:rowOff>
    </xdr:from>
    <xdr:ext cx="2520950" cy="2590800"/>
    <xdr:sp macro="" textlink="">
      <xdr:nvSpPr>
        <xdr:cNvPr id="17" name="TextBox 16">
          <a:extLst>
            <a:ext uri="{FF2B5EF4-FFF2-40B4-BE49-F238E27FC236}">
              <a16:creationId xmlns:a16="http://schemas.microsoft.com/office/drawing/2014/main" id="{27F20BE5-FCB1-D2FE-E2CE-3114954CD61E}"/>
            </a:ext>
          </a:extLst>
        </xdr:cNvPr>
        <xdr:cNvSpPr txBox="1"/>
      </xdr:nvSpPr>
      <xdr:spPr>
        <a:xfrm>
          <a:off x="8413750" y="1409700"/>
          <a:ext cx="2520950" cy="25908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IN" sz="1600"/>
            <a:t>               BUSINESS INSIGHT                                                       </a:t>
          </a:r>
          <a:r>
            <a:rPr lang="en-IN" sz="1400"/>
            <a:t>1.Actual profit is lower than budget for most products                                                                     2.Cost exceeded budget significantly, especially for Product B and C                                                          3. Revenue is close to budget but cost increase reduced profitability                                                         4.Cost control is required to improve margins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uri dedeepya" refreshedDate="46147.803167939812" createdVersion="8" refreshedVersion="8" minRefreshableVersion="3" recordCount="8" xr:uid="{131D43E7-4C72-4E2F-A629-2A19665B4025}">
  <cacheSource type="worksheet">
    <worksheetSource name="Table1"/>
  </cacheSource>
  <cacheFields count="6">
    <cacheField name="product" numFmtId="0">
      <sharedItems count="4">
        <s v="A"/>
        <s v="B"/>
        <s v="C"/>
        <s v="D"/>
      </sharedItems>
    </cacheField>
    <cacheField name="Scenario" numFmtId="0">
      <sharedItems count="2">
        <s v="Budget"/>
        <s v="Actual"/>
      </sharedItems>
    </cacheField>
    <cacheField name="Revenue" numFmtId="0">
      <sharedItems containsSemiMixedTypes="0" containsString="0" containsNumber="1" containsInteger="1" minValue="82000" maxValue="150000"/>
    </cacheField>
    <cacheField name="cost" numFmtId="0">
      <sharedItems containsSemiMixedTypes="0" containsString="0" containsNumber="1" containsInteger="1" minValue="48000" maxValue="145000"/>
    </cacheField>
    <cacheField name="Profit" numFmtId="0">
      <sharedItems containsSemiMixedTypes="0" containsString="0" containsNumber="1" containsInteger="1" minValue="5000" maxValue="55000"/>
    </cacheField>
    <cacheField name="Margin" numFmtId="10">
      <sharedItems containsSemiMixedTypes="0" containsString="0" containsNumber="1" minValue="3.3333333333333333E-2" maxValue="0.41463414634146339"/>
    </cacheField>
  </cacheFields>
  <extLst>
    <ext xmlns:x14="http://schemas.microsoft.com/office/spreadsheetml/2009/9/main" uri="{725AE2AE-9491-48be-B2B4-4EB974FC3084}">
      <x14:pivotCacheDefinition pivotCacheId="711653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105000"/>
    <n v="66500"/>
    <n v="38500"/>
    <n v="0.36666666666666664"/>
  </r>
  <r>
    <x v="0"/>
    <x v="1"/>
    <n v="100000"/>
    <n v="70000"/>
    <n v="30000"/>
    <n v="0.3"/>
  </r>
  <r>
    <x v="1"/>
    <x v="0"/>
    <n v="140000"/>
    <n v="85000"/>
    <n v="55000"/>
    <n v="0.39285714285714285"/>
  </r>
  <r>
    <x v="1"/>
    <x v="1"/>
    <n v="150000"/>
    <n v="145000"/>
    <n v="5000"/>
    <n v="3.3333333333333333E-2"/>
  </r>
  <r>
    <x v="2"/>
    <x v="0"/>
    <n v="95000"/>
    <n v="57000"/>
    <n v="38000"/>
    <n v="0.4"/>
  </r>
  <r>
    <x v="2"/>
    <x v="1"/>
    <n v="95000"/>
    <n v="85000"/>
    <n v="10000"/>
    <n v="0.10526315789473684"/>
  </r>
  <r>
    <x v="3"/>
    <x v="0"/>
    <n v="82000"/>
    <n v="48000"/>
    <n v="34000"/>
    <n v="0.41463414634146339"/>
  </r>
  <r>
    <x v="3"/>
    <x v="1"/>
    <n v="85000"/>
    <n v="55000"/>
    <n v="30000"/>
    <n v="0.352941176470588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10683B-9962-468D-A5D4-8F8B442931F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6">
    <pivotField axis="axisRow" showAll="0">
      <items count="5">
        <item x="0"/>
        <item x="1"/>
        <item x="2"/>
        <item x="3"/>
        <item t="default"/>
      </items>
    </pivotField>
    <pivotField axis="axisRow" showAll="0">
      <items count="3">
        <item x="1"/>
        <item x="0"/>
        <item t="default"/>
      </items>
    </pivotField>
    <pivotField showAll="0"/>
    <pivotField showAll="0"/>
    <pivotField dataField="1" showAll="0"/>
    <pivotField numFmtId="10" showAll="0"/>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Profi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138B5A-CE0B-443E-B912-420806078C0E}"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6">
    <pivotField showAll="0">
      <items count="5">
        <item x="0"/>
        <item x="1"/>
        <item x="2"/>
        <item x="3"/>
        <item t="default"/>
      </items>
    </pivotField>
    <pivotField axis="axisRow" showAll="0">
      <items count="3">
        <item x="1"/>
        <item x="0"/>
        <item t="default"/>
      </items>
    </pivotField>
    <pivotField showAll="0"/>
    <pivotField showAll="0"/>
    <pivotField dataField="1" showAll="0"/>
    <pivotField numFmtId="10" showAll="0"/>
  </pivotFields>
  <rowFields count="1">
    <field x="1"/>
  </rowFields>
  <rowItems count="3">
    <i>
      <x/>
    </i>
    <i>
      <x v="1"/>
    </i>
    <i t="grand">
      <x/>
    </i>
  </rowItems>
  <colItems count="1">
    <i/>
  </colItems>
  <dataFields count="1">
    <dataField name="Sum of Prof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5B732-47E8-45B9-8628-2ED4A0303BE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6">
    <pivotField axis="axisRow" showAll="0">
      <items count="5">
        <item x="0"/>
        <item x="1"/>
        <item x="2"/>
        <item x="3"/>
        <item t="default"/>
      </items>
    </pivotField>
    <pivotField axis="axisRow" showAll="0">
      <items count="3">
        <item x="1"/>
        <item x="0"/>
        <item t="default"/>
      </items>
    </pivotField>
    <pivotField showAll="0"/>
    <pivotField dataField="1" showAll="0"/>
    <pivotField showAll="0"/>
    <pivotField numFmtId="10" showAll="0"/>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cost"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01A4CE8-76C4-4FC3-A39F-9101100156BF}" sourceName="product">
  <pivotTables>
    <pivotTable tabId="4" name="PivotTable5"/>
  </pivotTables>
  <data>
    <tabular pivotCacheId="71165300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 xr10:uid="{ED1DDD9B-58BF-414D-9964-205D55627BEB}" sourceName="Scenario">
  <pivotTables>
    <pivotTable tabId="4" name="PivotTable5"/>
  </pivotTables>
  <data>
    <tabular pivotCacheId="7116530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6704F95-EE3A-4A85-829F-358D63CC26E5}" cache="Slicer_product" caption="product" style="SlicerStyleDark3" rowHeight="241300"/>
  <slicer name="Scenario" xr10:uid="{5305D20C-A38B-4E5C-B3A6-D8B39435E3C4}" cache="Slicer_Scenario" caption="Scenario"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A30C2A-CA8E-4AFA-9F64-E56FF1FCEFE6}" name="Table1" displayName="Table1" ref="A1:F9" totalsRowShown="0">
  <autoFilter ref="A1:F9" xr:uid="{EBA30C2A-CA8E-4AFA-9F64-E56FF1FCEFE6}"/>
  <tableColumns count="6">
    <tableColumn id="1" xr3:uid="{FA640D39-44BC-4EBA-A0D8-35C29E83960C}" name="product"/>
    <tableColumn id="2" xr3:uid="{7722AEAD-3A1E-431F-87EA-AC0F0D4F70EB}" name="Scenario"/>
    <tableColumn id="3" xr3:uid="{F095F44B-5DD5-4F0A-AEA5-18BD1B00883A}" name="Revenue"/>
    <tableColumn id="4" xr3:uid="{BBFB0735-AED8-47D4-8FD5-05E48B2C7C0A}" name="cost"/>
    <tableColumn id="5" xr3:uid="{D1551CC4-C6BD-497D-8B3F-5DA256C0D9FF}" name="Profit">
      <calculatedColumnFormula>C2-D2</calculatedColumnFormula>
    </tableColumn>
    <tableColumn id="6" xr3:uid="{E022C932-B5D6-4A6A-ACEE-80EBF91D03BD}" name="Margin" dataDxfId="0">
      <calculatedColumnFormula>E2/C2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6B6B4-4D86-4CC1-BB06-05880E081FA1}">
  <dimension ref="A3:B16"/>
  <sheetViews>
    <sheetView workbookViewId="0">
      <selection activeCell="C2" sqref="C2"/>
    </sheetView>
  </sheetViews>
  <sheetFormatPr defaultRowHeight="14.5" x14ac:dyDescent="0.35"/>
  <cols>
    <col min="1" max="1" width="12.36328125" bestFit="1" customWidth="1"/>
    <col min="2" max="2" width="11.81640625" bestFit="1" customWidth="1"/>
  </cols>
  <sheetData>
    <row r="3" spans="1:2" x14ac:dyDescent="0.35">
      <c r="A3" s="2" t="s">
        <v>12</v>
      </c>
      <c r="B3" t="s">
        <v>14</v>
      </c>
    </row>
    <row r="4" spans="1:2" x14ac:dyDescent="0.35">
      <c r="A4" s="3" t="s">
        <v>4</v>
      </c>
      <c r="B4" s="4">
        <v>68500</v>
      </c>
    </row>
    <row r="5" spans="1:2" x14ac:dyDescent="0.35">
      <c r="A5" s="5" t="s">
        <v>9</v>
      </c>
      <c r="B5" s="4">
        <v>30000</v>
      </c>
    </row>
    <row r="6" spans="1:2" x14ac:dyDescent="0.35">
      <c r="A6" s="5" t="s">
        <v>8</v>
      </c>
      <c r="B6" s="4">
        <v>38500</v>
      </c>
    </row>
    <row r="7" spans="1:2" x14ac:dyDescent="0.35">
      <c r="A7" s="3" t="s">
        <v>5</v>
      </c>
      <c r="B7" s="4">
        <v>60000</v>
      </c>
    </row>
    <row r="8" spans="1:2" x14ac:dyDescent="0.35">
      <c r="A8" s="5" t="s">
        <v>9</v>
      </c>
      <c r="B8" s="4">
        <v>5000</v>
      </c>
    </row>
    <row r="9" spans="1:2" x14ac:dyDescent="0.35">
      <c r="A9" s="5" t="s">
        <v>8</v>
      </c>
      <c r="B9" s="4">
        <v>55000</v>
      </c>
    </row>
    <row r="10" spans="1:2" x14ac:dyDescent="0.35">
      <c r="A10" s="3" t="s">
        <v>6</v>
      </c>
      <c r="B10" s="4">
        <v>48000</v>
      </c>
    </row>
    <row r="11" spans="1:2" x14ac:dyDescent="0.35">
      <c r="A11" s="5" t="s">
        <v>9</v>
      </c>
      <c r="B11" s="4">
        <v>10000</v>
      </c>
    </row>
    <row r="12" spans="1:2" x14ac:dyDescent="0.35">
      <c r="A12" s="5" t="s">
        <v>8</v>
      </c>
      <c r="B12" s="4">
        <v>38000</v>
      </c>
    </row>
    <row r="13" spans="1:2" x14ac:dyDescent="0.35">
      <c r="A13" s="3" t="s">
        <v>7</v>
      </c>
      <c r="B13" s="4">
        <v>64000</v>
      </c>
    </row>
    <row r="14" spans="1:2" x14ac:dyDescent="0.35">
      <c r="A14" s="5" t="s">
        <v>9</v>
      </c>
      <c r="B14" s="4">
        <v>30000</v>
      </c>
    </row>
    <row r="15" spans="1:2" x14ac:dyDescent="0.35">
      <c r="A15" s="5" t="s">
        <v>8</v>
      </c>
      <c r="B15" s="4">
        <v>34000</v>
      </c>
    </row>
    <row r="16" spans="1:2" x14ac:dyDescent="0.35">
      <c r="A16" s="3" t="s">
        <v>13</v>
      </c>
      <c r="B16" s="4">
        <v>240500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1BB7-29BA-442C-9998-82C647A10307}">
  <dimension ref="A3:C6"/>
  <sheetViews>
    <sheetView workbookViewId="0">
      <selection activeCell="B3" sqref="B3"/>
    </sheetView>
  </sheetViews>
  <sheetFormatPr defaultRowHeight="14.5" x14ac:dyDescent="0.35"/>
  <cols>
    <col min="1" max="1" width="12.36328125" bestFit="1" customWidth="1"/>
    <col min="2" max="2" width="11.81640625" bestFit="1" customWidth="1"/>
  </cols>
  <sheetData>
    <row r="3" spans="1:3" x14ac:dyDescent="0.35">
      <c r="A3" s="2" t="s">
        <v>12</v>
      </c>
      <c r="B3" t="s">
        <v>14</v>
      </c>
      <c r="C3" t="s">
        <v>16</v>
      </c>
    </row>
    <row r="4" spans="1:3" x14ac:dyDescent="0.35">
      <c r="A4" s="3" t="s">
        <v>9</v>
      </c>
      <c r="B4" s="4">
        <v>75000</v>
      </c>
      <c r="C4">
        <f>B4-B5</f>
        <v>-90500</v>
      </c>
    </row>
    <row r="5" spans="1:3" x14ac:dyDescent="0.35">
      <c r="A5" s="3" t="s">
        <v>8</v>
      </c>
      <c r="B5" s="4">
        <v>165500</v>
      </c>
      <c r="C5" s="1">
        <f>(B4-B5)/B5</f>
        <v>-0.54682779456193353</v>
      </c>
    </row>
    <row r="6" spans="1:3" x14ac:dyDescent="0.35">
      <c r="A6" s="3" t="s">
        <v>13</v>
      </c>
      <c r="B6" s="4">
        <v>240500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62C1F-B9AE-4AFE-BF4A-65642148D02F}">
  <dimension ref="B2:R22"/>
  <sheetViews>
    <sheetView tabSelected="1" workbookViewId="0">
      <selection activeCell="S5" sqref="S5"/>
    </sheetView>
  </sheetViews>
  <sheetFormatPr defaultRowHeight="14.5" x14ac:dyDescent="0.35"/>
  <sheetData>
    <row r="2" spans="2:18" x14ac:dyDescent="0.35">
      <c r="B2" s="12"/>
      <c r="C2" s="8"/>
      <c r="D2" s="8"/>
      <c r="E2" s="8"/>
      <c r="F2" s="8"/>
      <c r="G2" s="8"/>
      <c r="H2" s="8"/>
      <c r="I2" s="8"/>
      <c r="J2" s="8"/>
      <c r="K2" s="8"/>
      <c r="L2" s="8"/>
      <c r="M2" s="8"/>
      <c r="N2" s="8"/>
      <c r="O2" s="8"/>
      <c r="P2" s="8"/>
      <c r="Q2" s="8"/>
      <c r="R2" s="9"/>
    </row>
    <row r="3" spans="2:18" x14ac:dyDescent="0.35">
      <c r="B3" s="13"/>
      <c r="C3" s="6"/>
      <c r="D3" s="6"/>
      <c r="E3" s="6"/>
      <c r="F3" s="6"/>
      <c r="G3" s="6"/>
      <c r="H3" s="6"/>
      <c r="I3" s="6"/>
      <c r="J3" s="6"/>
      <c r="K3" s="6"/>
      <c r="L3" s="6"/>
      <c r="M3" s="6"/>
      <c r="N3" s="6"/>
      <c r="O3" s="6"/>
      <c r="P3" s="6"/>
      <c r="Q3" s="6"/>
      <c r="R3" s="10"/>
    </row>
    <row r="4" spans="2:18" x14ac:dyDescent="0.35">
      <c r="B4" s="13"/>
      <c r="C4" s="6"/>
      <c r="D4" s="6"/>
      <c r="E4" s="6"/>
      <c r="F4" s="6"/>
      <c r="G4" s="6"/>
      <c r="H4" s="6"/>
      <c r="I4" s="6"/>
      <c r="J4" s="6"/>
      <c r="K4" s="6"/>
      <c r="L4" s="6"/>
      <c r="M4" s="6"/>
      <c r="N4" s="6"/>
      <c r="O4" s="6"/>
      <c r="P4" s="6"/>
      <c r="Q4" s="6"/>
      <c r="R4" s="10"/>
    </row>
    <row r="5" spans="2:18" x14ac:dyDescent="0.35">
      <c r="B5" s="13"/>
      <c r="C5" s="6"/>
      <c r="D5" s="6"/>
      <c r="E5" s="6"/>
      <c r="F5" s="6"/>
      <c r="G5" s="6"/>
      <c r="H5" s="6"/>
      <c r="I5" s="6"/>
      <c r="J5" s="6"/>
      <c r="K5" s="6"/>
      <c r="L5" s="6"/>
      <c r="M5" s="6"/>
      <c r="N5" s="6"/>
      <c r="O5" s="6"/>
      <c r="P5" s="6"/>
      <c r="Q5" s="6"/>
      <c r="R5" s="10"/>
    </row>
    <row r="6" spans="2:18" x14ac:dyDescent="0.35">
      <c r="B6" s="13"/>
      <c r="C6" s="6"/>
      <c r="D6" s="6"/>
      <c r="E6" s="6"/>
      <c r="F6" s="6"/>
      <c r="G6" s="6"/>
      <c r="H6" s="6"/>
      <c r="I6" s="6"/>
      <c r="J6" s="6"/>
      <c r="K6" s="6"/>
      <c r="L6" s="6"/>
      <c r="M6" s="6"/>
      <c r="N6" s="6"/>
      <c r="O6" s="6"/>
      <c r="P6" s="6"/>
      <c r="Q6" s="6"/>
      <c r="R6" s="10"/>
    </row>
    <row r="7" spans="2:18" x14ac:dyDescent="0.35">
      <c r="B7" s="13"/>
      <c r="C7" s="6"/>
      <c r="D7" s="6"/>
      <c r="E7" s="6"/>
      <c r="F7" s="6"/>
      <c r="G7" s="6"/>
      <c r="H7" s="6"/>
      <c r="I7" s="6"/>
      <c r="J7" s="6"/>
      <c r="K7" s="6"/>
      <c r="L7" s="6"/>
      <c r="M7" s="6"/>
      <c r="N7" s="6"/>
      <c r="O7" s="6"/>
      <c r="P7" s="6"/>
      <c r="Q7" s="6"/>
      <c r="R7" s="10"/>
    </row>
    <row r="8" spans="2:18" x14ac:dyDescent="0.35">
      <c r="B8" s="13"/>
      <c r="C8" s="6"/>
      <c r="D8" s="6"/>
      <c r="E8" s="6"/>
      <c r="F8" s="6"/>
      <c r="G8" s="6"/>
      <c r="H8" s="6"/>
      <c r="I8" s="6"/>
      <c r="J8" s="6"/>
      <c r="K8" s="6"/>
      <c r="L8" s="6"/>
      <c r="M8" s="6"/>
      <c r="N8" s="6"/>
      <c r="O8" s="6"/>
      <c r="P8" s="6"/>
      <c r="Q8" s="6"/>
      <c r="R8" s="10"/>
    </row>
    <row r="9" spans="2:18" x14ac:dyDescent="0.35">
      <c r="B9" s="13"/>
      <c r="C9" s="6"/>
      <c r="D9" s="6"/>
      <c r="E9" s="6"/>
      <c r="F9" s="6"/>
      <c r="G9" s="6"/>
      <c r="H9" s="6"/>
      <c r="I9" s="6"/>
      <c r="J9" s="6"/>
      <c r="K9" s="6"/>
      <c r="L9" s="6"/>
      <c r="M9" s="6"/>
      <c r="N9" s="6"/>
      <c r="O9" s="6"/>
      <c r="P9" s="6"/>
      <c r="Q9" s="6"/>
      <c r="R9" s="10"/>
    </row>
    <row r="10" spans="2:18" x14ac:dyDescent="0.35">
      <c r="B10" s="13"/>
      <c r="C10" s="6"/>
      <c r="D10" s="6"/>
      <c r="E10" s="6"/>
      <c r="F10" s="6"/>
      <c r="G10" s="6"/>
      <c r="H10" s="6"/>
      <c r="I10" s="6"/>
      <c r="J10" s="6"/>
      <c r="K10" s="6"/>
      <c r="L10" s="6"/>
      <c r="M10" s="6"/>
      <c r="N10" s="6"/>
      <c r="O10" s="6"/>
      <c r="P10" s="6"/>
      <c r="Q10" s="6"/>
      <c r="R10" s="10"/>
    </row>
    <row r="11" spans="2:18" x14ac:dyDescent="0.35">
      <c r="B11" s="13"/>
      <c r="C11" s="6"/>
      <c r="D11" s="6"/>
      <c r="E11" s="6"/>
      <c r="F11" s="6"/>
      <c r="G11" s="6"/>
      <c r="H11" s="6"/>
      <c r="I11" s="6"/>
      <c r="J11" s="6"/>
      <c r="K11" s="6"/>
      <c r="L11" s="6"/>
      <c r="M11" s="6"/>
      <c r="N11" s="6"/>
      <c r="O11" s="6"/>
      <c r="P11" s="6"/>
      <c r="Q11" s="6"/>
      <c r="R11" s="10"/>
    </row>
    <row r="12" spans="2:18" x14ac:dyDescent="0.35">
      <c r="B12" s="13"/>
      <c r="C12" s="6"/>
      <c r="D12" s="6"/>
      <c r="E12" s="6"/>
      <c r="F12" s="6"/>
      <c r="G12" s="6"/>
      <c r="H12" s="6"/>
      <c r="I12" s="6"/>
      <c r="J12" s="6"/>
      <c r="K12" s="6"/>
      <c r="L12" s="6"/>
      <c r="M12" s="6"/>
      <c r="N12" s="6"/>
      <c r="O12" s="6"/>
      <c r="P12" s="6"/>
      <c r="Q12" s="6"/>
      <c r="R12" s="10"/>
    </row>
    <row r="13" spans="2:18" x14ac:dyDescent="0.35">
      <c r="B13" s="13"/>
      <c r="C13" s="6"/>
      <c r="D13" s="6"/>
      <c r="E13" s="6"/>
      <c r="F13" s="6"/>
      <c r="G13" s="6"/>
      <c r="H13" s="6"/>
      <c r="I13" s="6"/>
      <c r="J13" s="6"/>
      <c r="K13" s="6"/>
      <c r="L13" s="6"/>
      <c r="M13" s="6"/>
      <c r="N13" s="6"/>
      <c r="O13" s="6"/>
      <c r="P13" s="6"/>
      <c r="Q13" s="6"/>
      <c r="R13" s="10"/>
    </row>
    <row r="14" spans="2:18" x14ac:dyDescent="0.35">
      <c r="B14" s="13"/>
      <c r="C14" s="6"/>
      <c r="D14" s="6"/>
      <c r="E14" s="6"/>
      <c r="F14" s="6"/>
      <c r="G14" s="6"/>
      <c r="H14" s="6"/>
      <c r="I14" s="6"/>
      <c r="J14" s="6"/>
      <c r="K14" s="6"/>
      <c r="L14" s="6"/>
      <c r="M14" s="6"/>
      <c r="N14" s="6"/>
      <c r="O14" s="6"/>
      <c r="P14" s="6"/>
      <c r="Q14" s="6"/>
      <c r="R14" s="10"/>
    </row>
    <row r="15" spans="2:18" x14ac:dyDescent="0.35">
      <c r="B15" s="13"/>
      <c r="C15" s="6"/>
      <c r="D15" s="6"/>
      <c r="E15" s="6"/>
      <c r="F15" s="6"/>
      <c r="G15" s="6"/>
      <c r="H15" s="6"/>
      <c r="I15" s="6"/>
      <c r="J15" s="6"/>
      <c r="K15" s="6"/>
      <c r="L15" s="6"/>
      <c r="M15" s="6"/>
      <c r="N15" s="6"/>
      <c r="O15" s="6"/>
      <c r="P15" s="6"/>
      <c r="Q15" s="6"/>
      <c r="R15" s="10"/>
    </row>
    <row r="16" spans="2:18" x14ac:dyDescent="0.35">
      <c r="B16" s="13"/>
      <c r="C16" s="6"/>
      <c r="D16" s="6"/>
      <c r="E16" s="6"/>
      <c r="F16" s="6"/>
      <c r="G16" s="6"/>
      <c r="H16" s="6"/>
      <c r="I16" s="6"/>
      <c r="J16" s="6"/>
      <c r="K16" s="6"/>
      <c r="L16" s="6"/>
      <c r="M16" s="6"/>
      <c r="N16" s="6"/>
      <c r="O16" s="6"/>
      <c r="P16" s="6"/>
      <c r="Q16" s="6"/>
      <c r="R16" s="10"/>
    </row>
    <row r="17" spans="2:18" x14ac:dyDescent="0.35">
      <c r="B17" s="13"/>
      <c r="C17" s="6"/>
      <c r="D17" s="6"/>
      <c r="E17" s="6"/>
      <c r="F17" s="6"/>
      <c r="G17" s="6"/>
      <c r="H17" s="6"/>
      <c r="I17" s="6"/>
      <c r="J17" s="6"/>
      <c r="K17" s="6"/>
      <c r="L17" s="6"/>
      <c r="M17" s="6"/>
      <c r="N17" s="6"/>
      <c r="O17" s="6"/>
      <c r="P17" s="6"/>
      <c r="Q17" s="6"/>
      <c r="R17" s="10"/>
    </row>
    <row r="18" spans="2:18" x14ac:dyDescent="0.35">
      <c r="B18" s="13"/>
      <c r="C18" s="6"/>
      <c r="D18" s="6"/>
      <c r="E18" s="6"/>
      <c r="F18" s="6"/>
      <c r="G18" s="6"/>
      <c r="H18" s="6"/>
      <c r="I18" s="6"/>
      <c r="J18" s="6"/>
      <c r="K18" s="6"/>
      <c r="L18" s="6"/>
      <c r="M18" s="6"/>
      <c r="N18" s="6"/>
      <c r="O18" s="6"/>
      <c r="P18" s="6"/>
      <c r="Q18" s="6"/>
      <c r="R18" s="10"/>
    </row>
    <row r="19" spans="2:18" x14ac:dyDescent="0.35">
      <c r="B19" s="13"/>
      <c r="C19" s="6"/>
      <c r="D19" s="6"/>
      <c r="E19" s="6"/>
      <c r="F19" s="6"/>
      <c r="G19" s="6"/>
      <c r="H19" s="6"/>
      <c r="I19" s="6"/>
      <c r="J19" s="6"/>
      <c r="K19" s="6"/>
      <c r="L19" s="6"/>
      <c r="M19" s="6"/>
      <c r="N19" s="6"/>
      <c r="O19" s="6"/>
      <c r="P19" s="6"/>
      <c r="Q19" s="6"/>
      <c r="R19" s="10"/>
    </row>
    <row r="20" spans="2:18" x14ac:dyDescent="0.35">
      <c r="B20" s="13"/>
      <c r="C20" s="6"/>
      <c r="D20" s="6"/>
      <c r="E20" s="6"/>
      <c r="F20" s="6"/>
      <c r="G20" s="6"/>
      <c r="H20" s="6"/>
      <c r="I20" s="6"/>
      <c r="J20" s="6"/>
      <c r="K20" s="6"/>
      <c r="L20" s="6"/>
      <c r="M20" s="6"/>
      <c r="N20" s="6"/>
      <c r="O20" s="6"/>
      <c r="P20" s="6"/>
      <c r="Q20" s="6"/>
      <c r="R20" s="10"/>
    </row>
    <row r="21" spans="2:18" x14ac:dyDescent="0.35">
      <c r="B21" s="13"/>
      <c r="C21" s="6"/>
      <c r="D21" s="6"/>
      <c r="E21" s="6"/>
      <c r="F21" s="6"/>
      <c r="G21" s="6"/>
      <c r="H21" s="6"/>
      <c r="I21" s="6"/>
      <c r="J21" s="6"/>
      <c r="K21" s="6"/>
      <c r="L21" s="6"/>
      <c r="M21" s="6"/>
      <c r="N21" s="6"/>
      <c r="O21" s="6"/>
      <c r="P21" s="6"/>
      <c r="Q21" s="6"/>
      <c r="R21" s="10"/>
    </row>
    <row r="22" spans="2:18" x14ac:dyDescent="0.35">
      <c r="B22" s="14"/>
      <c r="C22" s="7"/>
      <c r="D22" s="7"/>
      <c r="E22" s="7"/>
      <c r="F22" s="7"/>
      <c r="G22" s="7"/>
      <c r="H22" s="7"/>
      <c r="I22" s="7"/>
      <c r="J22" s="7"/>
      <c r="K22" s="7"/>
      <c r="L22" s="7"/>
      <c r="M22" s="7"/>
      <c r="N22" s="7"/>
      <c r="O22" s="7"/>
      <c r="P22" s="7"/>
      <c r="Q22" s="7"/>
      <c r="R22" s="11"/>
    </row>
  </sheetData>
  <mergeCells count="1">
    <mergeCell ref="B2:R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1A663-34DE-4CCA-A5AF-F57C0C51BF03}">
  <dimension ref="A3:B16"/>
  <sheetViews>
    <sheetView workbookViewId="0">
      <selection activeCell="A3" sqref="A3"/>
    </sheetView>
  </sheetViews>
  <sheetFormatPr defaultRowHeight="14.5" x14ac:dyDescent="0.35"/>
  <cols>
    <col min="1" max="1" width="12.36328125" bestFit="1" customWidth="1"/>
    <col min="2" max="2" width="10.54296875" bestFit="1" customWidth="1"/>
  </cols>
  <sheetData>
    <row r="3" spans="1:2" x14ac:dyDescent="0.35">
      <c r="A3" s="2" t="s">
        <v>12</v>
      </c>
      <c r="B3" t="s">
        <v>15</v>
      </c>
    </row>
    <row r="4" spans="1:2" x14ac:dyDescent="0.35">
      <c r="A4" s="3" t="s">
        <v>4</v>
      </c>
      <c r="B4" s="4">
        <v>136500</v>
      </c>
    </row>
    <row r="5" spans="1:2" x14ac:dyDescent="0.35">
      <c r="A5" s="5" t="s">
        <v>9</v>
      </c>
      <c r="B5" s="4">
        <v>70000</v>
      </c>
    </row>
    <row r="6" spans="1:2" x14ac:dyDescent="0.35">
      <c r="A6" s="5" t="s">
        <v>8</v>
      </c>
      <c r="B6" s="4">
        <v>66500</v>
      </c>
    </row>
    <row r="7" spans="1:2" x14ac:dyDescent="0.35">
      <c r="A7" s="3" t="s">
        <v>5</v>
      </c>
      <c r="B7" s="4">
        <v>230000</v>
      </c>
    </row>
    <row r="8" spans="1:2" x14ac:dyDescent="0.35">
      <c r="A8" s="5" t="s">
        <v>9</v>
      </c>
      <c r="B8" s="4">
        <v>145000</v>
      </c>
    </row>
    <row r="9" spans="1:2" x14ac:dyDescent="0.35">
      <c r="A9" s="5" t="s">
        <v>8</v>
      </c>
      <c r="B9" s="4">
        <v>85000</v>
      </c>
    </row>
    <row r="10" spans="1:2" x14ac:dyDescent="0.35">
      <c r="A10" s="3" t="s">
        <v>6</v>
      </c>
      <c r="B10" s="4">
        <v>142000</v>
      </c>
    </row>
    <row r="11" spans="1:2" x14ac:dyDescent="0.35">
      <c r="A11" s="5" t="s">
        <v>9</v>
      </c>
      <c r="B11" s="4">
        <v>85000</v>
      </c>
    </row>
    <row r="12" spans="1:2" x14ac:dyDescent="0.35">
      <c r="A12" s="5" t="s">
        <v>8</v>
      </c>
      <c r="B12" s="4">
        <v>57000</v>
      </c>
    </row>
    <row r="13" spans="1:2" x14ac:dyDescent="0.35">
      <c r="A13" s="3" t="s">
        <v>7</v>
      </c>
      <c r="B13" s="4">
        <v>103000</v>
      </c>
    </row>
    <row r="14" spans="1:2" x14ac:dyDescent="0.35">
      <c r="A14" s="5" t="s">
        <v>9</v>
      </c>
      <c r="B14" s="4">
        <v>55000</v>
      </c>
    </row>
    <row r="15" spans="1:2" x14ac:dyDescent="0.35">
      <c r="A15" s="5" t="s">
        <v>8</v>
      </c>
      <c r="B15" s="4">
        <v>48000</v>
      </c>
    </row>
    <row r="16" spans="1:2" x14ac:dyDescent="0.35">
      <c r="A16" s="3" t="s">
        <v>13</v>
      </c>
      <c r="B16" s="4">
        <v>611500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695D-7428-4A5C-BD10-4440D7E760B5}">
  <dimension ref="A1:F9"/>
  <sheetViews>
    <sheetView workbookViewId="0">
      <selection sqref="A1:F9"/>
    </sheetView>
  </sheetViews>
  <sheetFormatPr defaultRowHeight="14.5" x14ac:dyDescent="0.35"/>
  <cols>
    <col min="1" max="1" width="9.453125" customWidth="1"/>
    <col min="2" max="2" width="9.90625" customWidth="1"/>
    <col min="3" max="3" width="10" customWidth="1"/>
  </cols>
  <sheetData>
    <row r="1" spans="1:6" x14ac:dyDescent="0.35">
      <c r="A1" t="s">
        <v>0</v>
      </c>
      <c r="B1" t="s">
        <v>1</v>
      </c>
      <c r="C1" t="s">
        <v>2</v>
      </c>
      <c r="D1" t="s">
        <v>3</v>
      </c>
      <c r="E1" t="s">
        <v>10</v>
      </c>
      <c r="F1" t="s">
        <v>11</v>
      </c>
    </row>
    <row r="2" spans="1:6" x14ac:dyDescent="0.35">
      <c r="A2" t="s">
        <v>4</v>
      </c>
      <c r="B2" t="s">
        <v>8</v>
      </c>
      <c r="C2">
        <v>105000</v>
      </c>
      <c r="D2">
        <v>66500</v>
      </c>
      <c r="E2">
        <f>C2-D2</f>
        <v>38500</v>
      </c>
      <c r="F2" s="1">
        <f>E2/C2</f>
        <v>0.36666666666666664</v>
      </c>
    </row>
    <row r="3" spans="1:6" x14ac:dyDescent="0.35">
      <c r="A3" t="s">
        <v>4</v>
      </c>
      <c r="B3" t="s">
        <v>9</v>
      </c>
      <c r="C3">
        <v>100000</v>
      </c>
      <c r="D3">
        <v>70000</v>
      </c>
      <c r="E3">
        <f t="shared" ref="E3:E9" si="0">C3-D3</f>
        <v>30000</v>
      </c>
      <c r="F3" s="1">
        <f t="shared" ref="F3:F9" si="1">E3/C3</f>
        <v>0.3</v>
      </c>
    </row>
    <row r="4" spans="1:6" x14ac:dyDescent="0.35">
      <c r="A4" t="s">
        <v>5</v>
      </c>
      <c r="B4" t="s">
        <v>8</v>
      </c>
      <c r="C4">
        <v>140000</v>
      </c>
      <c r="D4">
        <v>85000</v>
      </c>
      <c r="E4">
        <f t="shared" si="0"/>
        <v>55000</v>
      </c>
      <c r="F4" s="1">
        <f t="shared" si="1"/>
        <v>0.39285714285714285</v>
      </c>
    </row>
    <row r="5" spans="1:6" x14ac:dyDescent="0.35">
      <c r="A5" t="s">
        <v>5</v>
      </c>
      <c r="B5" t="s">
        <v>9</v>
      </c>
      <c r="C5">
        <v>150000</v>
      </c>
      <c r="D5">
        <v>145000</v>
      </c>
      <c r="E5">
        <f t="shared" si="0"/>
        <v>5000</v>
      </c>
      <c r="F5" s="1">
        <f t="shared" si="1"/>
        <v>3.3333333333333333E-2</v>
      </c>
    </row>
    <row r="6" spans="1:6" x14ac:dyDescent="0.35">
      <c r="A6" t="s">
        <v>6</v>
      </c>
      <c r="B6" t="s">
        <v>8</v>
      </c>
      <c r="C6">
        <v>95000</v>
      </c>
      <c r="D6">
        <v>57000</v>
      </c>
      <c r="E6">
        <f t="shared" si="0"/>
        <v>38000</v>
      </c>
      <c r="F6" s="1">
        <f t="shared" si="1"/>
        <v>0.4</v>
      </c>
    </row>
    <row r="7" spans="1:6" x14ac:dyDescent="0.35">
      <c r="A7" t="s">
        <v>6</v>
      </c>
      <c r="B7" t="s">
        <v>9</v>
      </c>
      <c r="C7">
        <v>95000</v>
      </c>
      <c r="D7">
        <v>85000</v>
      </c>
      <c r="E7">
        <f t="shared" si="0"/>
        <v>10000</v>
      </c>
      <c r="F7" s="1">
        <f t="shared" si="1"/>
        <v>0.10526315789473684</v>
      </c>
    </row>
    <row r="8" spans="1:6" x14ac:dyDescent="0.35">
      <c r="A8" t="s">
        <v>7</v>
      </c>
      <c r="B8" t="s">
        <v>8</v>
      </c>
      <c r="C8">
        <v>82000</v>
      </c>
      <c r="D8">
        <v>48000</v>
      </c>
      <c r="E8">
        <f t="shared" si="0"/>
        <v>34000</v>
      </c>
      <c r="F8" s="1">
        <f t="shared" si="1"/>
        <v>0.41463414634146339</v>
      </c>
    </row>
    <row r="9" spans="1:6" x14ac:dyDescent="0.35">
      <c r="A9" t="s">
        <v>7</v>
      </c>
      <c r="B9" t="s">
        <v>9</v>
      </c>
      <c r="C9">
        <v>85000</v>
      </c>
      <c r="D9">
        <v>55000</v>
      </c>
      <c r="E9">
        <f t="shared" si="0"/>
        <v>30000</v>
      </c>
      <c r="F9" s="1">
        <f t="shared" si="1"/>
        <v>0.35294117647058826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DASHBOARD</vt:lpstr>
      <vt:lpstr>Sheet3</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alluri dedeepya</dc:creator>
  <cp:lastModifiedBy>alluri dedeepya</cp:lastModifiedBy>
  <dcterms:created xsi:type="dcterms:W3CDTF">2026-05-05T13:42:02Z</dcterms:created>
  <dcterms:modified xsi:type="dcterms:W3CDTF">2026-05-05T14:21:47Z</dcterms:modified>
</cp:coreProperties>
</file>